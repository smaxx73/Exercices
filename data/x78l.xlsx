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Médica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2"/>
    </font>
    <font>
      <b val="1"/>
      <color rgb="004472C4"/>
      <sz val="11"/>
    </font>
    <font>
      <b val="1"/>
      <color rgb="00C00000"/>
      <sz val="10"/>
    </font>
    <font>
      <i val="1"/>
      <color rgb="00808080"/>
    </font>
    <font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" customWidth="1" min="3" max="3"/>
    <col width="28" customWidth="1" min="4" max="4"/>
    <col width="35" customWidth="1" min="5" max="5"/>
  </cols>
  <sheetData>
    <row r="1">
      <c r="A1" s="1" t="inlineStr">
        <is>
          <t>EXERCICE 2 - ANALYSE DE DONNÉES PHARMACEUTIQUES</t>
        </is>
      </c>
    </row>
    <row r="2">
      <c r="A2" s="2" t="inlineStr">
        <is>
          <t>Temps d'efficacité du médicament (en heures) - 25 patients</t>
        </is>
      </c>
    </row>
    <row r="4">
      <c r="A4" s="3" t="inlineStr">
        <is>
          <t>Patient</t>
        </is>
      </c>
      <c r="B4" s="3" t="inlineStr">
        <is>
          <t>Temps (h)</t>
        </is>
      </c>
      <c r="D4" s="4" t="inlineStr">
        <is>
          <t>ZONE DE TRAVAIL - Complétez les formules</t>
        </is>
      </c>
    </row>
    <row r="5">
      <c r="A5" s="5" t="n">
        <v>1</v>
      </c>
      <c r="B5" s="5" t="n">
        <v>4.2</v>
      </c>
    </row>
    <row r="6">
      <c r="A6" s="5" t="n">
        <v>2</v>
      </c>
      <c r="B6" s="5" t="n">
        <v>5.1</v>
      </c>
      <c r="D6" s="6" t="inlineStr">
        <is>
          <t>PARTIE A - Statistiques descriptives</t>
        </is>
      </c>
    </row>
    <row r="7">
      <c r="A7" s="5" t="n">
        <v>3</v>
      </c>
      <c r="B7" s="5" t="n">
        <v>4.8</v>
      </c>
    </row>
    <row r="8">
      <c r="A8" s="5" t="n">
        <v>4</v>
      </c>
      <c r="B8" s="5" t="n">
        <v>5.5</v>
      </c>
      <c r="D8" s="7" t="inlineStr">
        <is>
          <t>Statistique</t>
        </is>
      </c>
      <c r="E8" s="7" t="inlineStr">
        <is>
          <t>Votre formule</t>
        </is>
      </c>
    </row>
    <row r="9">
      <c r="A9" s="5" t="n">
        <v>5</v>
      </c>
      <c r="B9" s="5" t="n">
        <v>4.6</v>
      </c>
      <c r="D9" s="8" t="inlineStr">
        <is>
          <t>Moyenne (x̄)</t>
        </is>
      </c>
      <c r="E9" s="9">
        <f>MOYENNE(...)</f>
        <v/>
      </c>
    </row>
    <row r="10">
      <c r="A10" s="5" t="n">
        <v>6</v>
      </c>
      <c r="B10" s="5" t="n">
        <v>5.3</v>
      </c>
      <c r="D10" s="8" t="inlineStr">
        <is>
          <t>Variance (s²)</t>
        </is>
      </c>
      <c r="E10" s="9">
        <f>VAR.S(...)</f>
        <v/>
      </c>
    </row>
    <row r="11">
      <c r="A11" s="5" t="n">
        <v>7</v>
      </c>
      <c r="B11" s="5" t="n">
        <v>4.9</v>
      </c>
      <c r="D11" s="8" t="inlineStr">
        <is>
          <t>Écart-type (s)</t>
        </is>
      </c>
      <c r="E11" s="9">
        <f>ECARTYPE.STANDARD(...)</f>
        <v/>
      </c>
    </row>
    <row r="12">
      <c r="A12" s="5" t="n">
        <v>8</v>
      </c>
      <c r="B12" s="5" t="n">
        <v>5.7</v>
      </c>
      <c r="D12" s="8" t="inlineStr"/>
      <c r="E12" s="10" t="n"/>
    </row>
    <row r="13">
      <c r="A13" s="5" t="n">
        <v>9</v>
      </c>
      <c r="B13" s="5" t="n">
        <v>4.5</v>
      </c>
      <c r="D13" s="8" t="inlineStr">
        <is>
          <t>Écart absolu |x̄-5|</t>
        </is>
      </c>
      <c r="E13" s="10" t="n"/>
    </row>
    <row r="14">
      <c r="A14" s="5" t="n">
        <v>10</v>
      </c>
      <c r="B14" s="5" t="n">
        <v>5</v>
      </c>
      <c r="D14" s="8" t="inlineStr">
        <is>
          <t>Écart relatif (%)</t>
        </is>
      </c>
      <c r="E14" s="10" t="n"/>
    </row>
    <row r="15">
      <c r="A15" s="5" t="n">
        <v>11</v>
      </c>
      <c r="B15" s="5" t="n">
        <v>4.7</v>
      </c>
    </row>
    <row r="16">
      <c r="A16" s="5" t="n">
        <v>12</v>
      </c>
      <c r="B16" s="5" t="n">
        <v>5.2</v>
      </c>
      <c r="D16" s="6" t="inlineStr">
        <is>
          <t>PARTIE B - Modélisation par une loi normale</t>
        </is>
      </c>
    </row>
    <row r="17">
      <c r="A17" s="5" t="n">
        <v>13</v>
      </c>
      <c r="B17" s="5" t="n">
        <v>4.4</v>
      </c>
    </row>
    <row r="18">
      <c r="A18" s="5" t="n">
        <v>14</v>
      </c>
      <c r="B18" s="5" t="n">
        <v>5.6</v>
      </c>
      <c r="D18" s="7" t="inlineStr">
        <is>
          <t>Probabilité</t>
        </is>
      </c>
      <c r="E18" s="7" t="inlineStr">
        <is>
          <t>Votre formule</t>
        </is>
      </c>
    </row>
    <row r="19">
      <c r="A19" s="5" t="n">
        <v>15</v>
      </c>
      <c r="B19" s="5" t="n">
        <v>4.3</v>
      </c>
      <c r="D19" s="8" t="inlineStr">
        <is>
          <t>P(X ≤ 4.5)</t>
        </is>
      </c>
      <c r="E19" s="9">
        <f>LOI.NORMALE(...)</f>
        <v/>
      </c>
    </row>
    <row r="20">
      <c r="A20" s="5" t="n">
        <v>16</v>
      </c>
      <c r="B20" s="5" t="n">
        <v>5.4</v>
      </c>
      <c r="D20" s="8" t="inlineStr">
        <is>
          <t>P(4.8 ≤ X ≤ 5.2)</t>
        </is>
      </c>
      <c r="E20" s="10" t="n"/>
    </row>
    <row r="21">
      <c r="A21" s="5" t="n">
        <v>17</v>
      </c>
      <c r="B21" s="5" t="n">
        <v>4.8</v>
      </c>
      <c r="D21" s="8" t="inlineStr"/>
      <c r="E21" s="10" t="n"/>
    </row>
    <row r="22">
      <c r="A22" s="5" t="n">
        <v>18</v>
      </c>
      <c r="B22" s="5" t="n">
        <v>5.1</v>
      </c>
      <c r="D22" s="8" t="inlineStr">
        <is>
          <t>Quantile 90% (t₉₀)</t>
        </is>
      </c>
      <c r="E22" s="9">
        <f>LOI.NORMALE.INVERSE(...)</f>
        <v/>
      </c>
    </row>
    <row r="23">
      <c r="A23" s="5" t="n">
        <v>19</v>
      </c>
      <c r="B23" s="5" t="n">
        <v>4.9</v>
      </c>
    </row>
    <row r="24">
      <c r="A24" s="5" t="n">
        <v>20</v>
      </c>
      <c r="B24" s="5" t="n">
        <v>5.3</v>
      </c>
      <c r="D24" s="6" t="inlineStr">
        <is>
          <t>PARTIE C - Intervalle de confiance à 95%</t>
        </is>
      </c>
    </row>
    <row r="25">
      <c r="A25" s="5" t="n">
        <v>21</v>
      </c>
      <c r="B25" s="5" t="n">
        <v>4.6</v>
      </c>
    </row>
    <row r="26">
      <c r="A26" s="5" t="n">
        <v>22</v>
      </c>
      <c r="B26" s="5" t="n">
        <v>5.5</v>
      </c>
      <c r="D26" s="7" t="inlineStr">
        <is>
          <t>Paramètre</t>
        </is>
      </c>
      <c r="E26" s="7" t="inlineStr">
        <is>
          <t>Votre formule</t>
        </is>
      </c>
    </row>
    <row r="27">
      <c r="A27" s="5" t="n">
        <v>23</v>
      </c>
      <c r="B27" s="5" t="n">
        <v>4.7</v>
      </c>
      <c r="D27" s="8" t="inlineStr">
        <is>
          <t>Taille (n)</t>
        </is>
      </c>
      <c r="E27" s="9">
        <f>NBVAL(...)</f>
        <v/>
      </c>
    </row>
    <row r="28">
      <c r="A28" s="5" t="n">
        <v>24</v>
      </c>
      <c r="B28" s="5" t="n">
        <v>5</v>
      </c>
      <c r="D28" s="8" t="inlineStr">
        <is>
          <t>t₀.₀₂₅⁽²⁴⁾</t>
        </is>
      </c>
      <c r="E28" s="9">
        <f>LOI.STUDENT.INVERSE.N(...)</f>
        <v/>
      </c>
    </row>
    <row r="29">
      <c r="A29" s="5" t="n">
        <v>25</v>
      </c>
      <c r="B29" s="5" t="n">
        <v>4.8</v>
      </c>
      <c r="D29" s="8" t="inlineStr">
        <is>
          <t>Marge d'erreur (ME)</t>
        </is>
      </c>
      <c r="E29" s="10" t="n"/>
    </row>
    <row r="30">
      <c r="D30" s="8" t="inlineStr">
        <is>
          <t>Borne inférieure</t>
        </is>
      </c>
      <c r="E30" s="10" t="n"/>
    </row>
    <row r="31">
      <c r="D31" s="8" t="inlineStr">
        <is>
          <t>Borne supérieure</t>
        </is>
      </c>
      <c r="E31" s="10" t="n"/>
    </row>
    <row r="32">
      <c r="D32" s="8" t="inlineStr"/>
      <c r="E32" s="10" t="n"/>
    </row>
    <row r="33">
      <c r="D33" s="8" t="inlineStr">
        <is>
          <t>5 ∈ IC ?</t>
        </is>
      </c>
      <c r="E33" s="9">
        <f>SI(ET(...)</f>
        <v/>
      </c>
    </row>
    <row r="34">
      <c r="D34" s="8" t="inlineStr">
        <is>
          <t>Nouvelle taille (IC/2)</t>
        </is>
      </c>
      <c r="E34" s="10" t="n"/>
    </row>
    <row r="37">
      <c r="D37" s="6" t="inlineStr">
        <is>
          <t>CONSIGNES :</t>
        </is>
      </c>
    </row>
    <row r="38">
      <c r="D38" s="11" t="inlineStr">
        <is>
          <t>1. Complétez les formules Excel dans la colonne E (zone bleue)</t>
        </is>
      </c>
    </row>
    <row r="39">
      <c r="D39" s="11" t="inlineStr">
        <is>
          <t>2. Les données se trouvent dans la plage B5:B29</t>
        </is>
      </c>
    </row>
    <row r="40">
      <c r="D40" s="11" t="inlineStr">
        <is>
          <t>3. Utilisez les fonctions indiquées (MOYENNE, VAR.S, LOI.NORMALE, etc.)</t>
        </is>
      </c>
    </row>
    <row r="41">
      <c r="D41" s="11" t="inlineStr">
        <is>
          <t>4. Pensez aux références absolues ($) quand nécessaire</t>
        </is>
      </c>
    </row>
    <row r="42">
      <c r="D42" s="11" t="inlineStr">
        <is>
          <t>5. Vérifiez vos résultats : moyenne ≈ 4.93, écart-type ≈ 0.43</t>
        </is>
      </c>
    </row>
  </sheetData>
  <mergeCells count="6">
    <mergeCell ref="D6:E6"/>
    <mergeCell ref="D16:E16"/>
    <mergeCell ref="D24:E24"/>
    <mergeCell ref="A1:C1"/>
    <mergeCell ref="D4:E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2025-12-02T15:39:36Z</dcterms:created>
  <dcterms:modified xmlns:dcterms="http://purl.org/dc/terms/" xmlns:xsi="http://www.w3.org/2001/XMLSchema-instance" xsi:type="dcterms:W3CDTF">2025-12-02T15:39:36Z</dcterms:modified>
</cp:coreProperties>
</file>